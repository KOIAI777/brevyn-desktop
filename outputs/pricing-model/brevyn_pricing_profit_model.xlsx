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d703b398a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额度套餐" sheetId="1" r:id="R536da328fe4f49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%"/>
    <x:numFmt numFmtId="202" formatCode="¥0.00"/>
    <x:numFmt numFmtId="203" formatCode="0.0000"/>
    <x:numFmt numFmtId="204" formatCode="0.0"/>
  </x:numFmts>
  <x:fonts count="7">
    <x:font>
      <x:sz val="11"/>
      <x:name val="Carlito"/>
    </x:font>
    <x:font>
      <x:b/>
      <x:sz val="14"/>
      <x:color rgb="FF0F2D5C"/>
      <x:name val="Aptos Display"/>
    </x:font>
    <x:font>
      <x:b/>
      <x:sz val="10"/>
      <x:color rgb="FFFFFFFF"/>
      <x:name val="Aptos"/>
    </x:font>
    <x:font>
      <x:b/>
      <x:sz val="10"/>
      <x:color rgb="FF172033"/>
      <x:name val="Aptos"/>
    </x:font>
    <x:font>
      <x:sz val="10"/>
      <x:color rgb="FF172033"/>
      <x:name val="Aptos"/>
    </x:font>
    <x:font>
      <x:b/>
      <x:sz val="18"/>
      <x:color rgb="FF0F2D5C"/>
      <x:name val="Aptos Display"/>
    </x:font>
    <x:font>
      <x:sz val="10"/>
      <x:color rgb="FF7C2D12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EAF3FF"/>
      </x:patternFill>
    </x:fill>
    <x:fill>
      <x:patternFill patternType="solid">
        <x:fgColor rgb="FF1F6FEB"/>
      </x:patternFill>
    </x:fill>
    <x:fill>
      <x:patternFill patternType="solid">
        <x:fgColor rgb="FFFFF7ED"/>
      </x:patternFill>
    </x:fill>
  </x:fills>
  <x:borders count="16">
    <x:border/>
    <x:border>
      <x:left style="thin">
        <x:color rgb="FF1B4EA3"/>
      </x:left>
      <x:top style="thin">
        <x:color rgb="FF1B4EA3"/>
      </x:top>
      <x:bottom style="thin">
        <x:color rgb="FF1B4EA3"/>
      </x:bottom>
    </x:border>
    <x:border>
      <x:top style="thin">
        <x:color rgb="FF1B4EA3"/>
      </x:top>
      <x:bottom style="thin">
        <x:color rgb="FF1B4EA3"/>
      </x:bottom>
    </x:border>
    <x:border>
      <x:right style="thin">
        <x:color rgb="FF1B4EA3"/>
      </x:right>
      <x:top style="thin">
        <x:color rgb="FF1B4EA3"/>
      </x:top>
      <x:bottom style="thin">
        <x:color rgb="FF1B4EA3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1B4EA3"/>
      </x:left>
      <x:right style="thin">
        <x:color rgb="FFE5E7EB"/>
      </x:right>
      <x:top style="thin">
        <x:color rgb="FF1B4EA3"/>
      </x:top>
      <x:bottom style="thin">
        <x:color rgb="FF1B4EA3"/>
      </x:bottom>
    </x:border>
    <x:border>
      <x:left style="thin">
        <x:color rgb="FFE5E7EB"/>
      </x:left>
      <x:right style="thin">
        <x:color rgb="FFE5E7EB"/>
      </x:right>
      <x:top style="thin">
        <x:color rgb="FF1B4EA3"/>
      </x:top>
      <x:bottom style="thin">
        <x:color rgb="FF1B4EA3"/>
      </x:bottom>
    </x:border>
    <x:border>
      <x:left style="thin">
        <x:color rgb="FFE5E7EB"/>
      </x:left>
      <x:right style="thin">
        <x:color rgb="FF1B4EA3"/>
      </x:right>
      <x:top style="thin">
        <x:color rgb="FF1B4EA3"/>
      </x:top>
      <x:bottom style="thin">
        <x:color rgb="FF1B4EA3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3" fillId="2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3" fillId="3" borderId="9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vertical="center" wrapText="1"/>
    </x:xf>
    <x:xf numFmtId="0" fontId="3" fillId="2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 applyAlignment="1">
      <x:alignment vertical="center" wrapText="1"/>
    </x:xf>
    <x:xf numFmtId="0" fontId="5" fillId="2" borderId="6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2" fontId="4" fillId="0" borderId="8" xfId="0" applyNumberFormat="1" applyFont="1" applyFill="1" applyBorder="1" applyAlignment="1">
      <x:alignment vertical="center" wrapText="1"/>
    </x:xf>
    <x:xf numFmtId="203" fontId="4" fillId="0" borderId="8" xfId="0" applyNumberFormat="1" applyFont="1" applyFill="1" applyBorder="1" applyAlignment="1">
      <x:alignment vertical="center" wrapText="1"/>
    </x:xf>
    <x:xf numFmtId="204" fontId="4" fillId="0" borderId="8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1" fillId="2" borderId="8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00b472b7f40d6" /><Relationship Type="http://schemas.openxmlformats.org/officeDocument/2006/relationships/theme" Target="/xl/theme/theme1.xml" Id="R52c0bceeda7343fc" /><Relationship Type="http://schemas.openxmlformats.org/officeDocument/2006/relationships/sharedStrings" Target="/xl/sharedStrings.xml" Id="R79c077490e6f4fa7" /><Relationship Type="http://schemas.openxmlformats.org/officeDocument/2006/relationships/worksheet" Target="/xl/worksheets/sheet1.xml" Id="R536da328fe4f49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3.329999923706055" hidden="0" customWidth="1"/>
    <x:col min="3" max="3" width="13.329999923706055" hidden="0" customWidth="1"/>
    <x:col min="4" max="4" width="16.670000076293945" hidden="0" customWidth="1"/>
    <x:col min="5" max="5" width="16.670000076293945" hidden="0" customWidth="1"/>
    <x:col min="6" max="6" width="13.329999923706055" hidden="0" customWidth="1"/>
    <x:col min="7" max="7" width="15.5600004196167" hidden="0" customWidth="1"/>
    <x:col min="8" max="8" width="46.66999816894531" hidden="0" customWidth="1"/>
  </x:cols>
  <x:sheetData>
    <x:row r="1">
      <x:c r="A1" s="71" t="str">
        <x:v>Brevyn 额度套餐测算</x:v>
      </x:c>
      <x:c r="B1" s="72" t="str"/>
      <x:c r="C1" s="72" t="str"/>
      <x:c r="D1" s="72" t="str"/>
      <x:c r="E1" s="72" t="str"/>
      <x:c r="F1" s="72" t="str"/>
      <x:c r="G1" s="72" t="str"/>
      <x:c r="H1" s="73" t="str"/>
    </x:row>
    <x:row r="2">
      <x:c r="A2" s="45"/>
      <x:c r="B2" s="46"/>
      <x:c r="C2" s="46"/>
      <x:c r="D2" s="46"/>
      <x:c r="E2" s="46"/>
      <x:c r="F2" s="46"/>
      <x:c r="G2" s="46"/>
      <x:c r="H2" s="47"/>
    </x:row>
    <x:row r="3">
      <x:c r="A3" s="79" t="str">
        <x:v>基础假设</x:v>
      </x:c>
      <x:c r="B3" s="80" t="str">
        <x:v>数值</x:v>
      </x:c>
      <x:c r="C3" s="80" t="str">
        <x:v>单位</x:v>
      </x:c>
      <x:c r="D3" s="81" t="str">
        <x:v>说明</x:v>
      </x:c>
      <x:c r="E3" s="46"/>
      <x:c r="F3" s="79" t="str">
        <x:v>核心结论</x:v>
      </x:c>
      <x:c r="G3" s="80" t="str">
        <x:v>结果</x:v>
      </x:c>
      <x:c r="H3" s="81" t="str">
        <x:v>说明</x:v>
      </x:c>
    </x:row>
    <x:row r="4">
      <x:c r="A4" s="45" t="str">
        <x:v>Kiro 单号成本</x:v>
      </x:c>
      <x:c r="B4" s="54" t="n">
        <x:v>30</x:v>
      </x:c>
      <x:c r="C4" s="46" t="str">
        <x:v>RMB</x:v>
      </x:c>
      <x:c r="D4" s="46" t="str">
        <x:v>一个号成本</x:v>
      </x:c>
      <x:c r="E4" s="46"/>
      <x:c r="F4" s="46" t="str">
        <x:v>Kiro 毛利率</x:v>
      </x:c>
      <x:c r="G4" s="55" t="n">
        <x:f>B10</x:f>
        <x:v>0.6</x:v>
      </x:c>
      <x:c r="H4" s="47" t="str">
        <x:v>按 30 元成本、300 刀可售、1 元 4 刀</x:v>
      </x:c>
    </x:row>
    <x:row r="5">
      <x:c r="A5" s="45" t="str">
        <x:v>Kiro 单号可售额度</x:v>
      </x:c>
      <x:c r="B5" s="54" t="n">
        <x:v>300</x:v>
      </x:c>
      <x:c r="C5" s="46" t="str">
        <x:v>刀</x:v>
      </x:c>
      <x:c r="D5" s="46" t="str">
        <x:v>1000 Kiro 额度保守折算</x:v>
      </x:c>
      <x:c r="E5" s="46"/>
      <x:c r="F5" s="46" t="str">
        <x:v>Kiro 1 刀成本</x:v>
      </x:c>
      <x:c r="G5" s="56" t="n">
        <x:f>B4/B5</x:f>
        <x:v>0.1</x:v>
      </x:c>
      <x:c r="H5" s="47" t="str">
        <x:v>30 元 / 300 刀</x:v>
      </x:c>
    </x:row>
    <x:row r="6">
      <x:c r="A6" s="45" t="str">
        <x:v>用户售价</x:v>
      </x:c>
      <x:c r="B6" s="54" t="n">
        <x:v>4</x:v>
      </x:c>
      <x:c r="C6" s="46" t="str">
        <x:v>刀 / RMB</x:v>
      </x:c>
      <x:c r="D6" s="46" t="str">
        <x:v>1 元 = 4 刀</x:v>
      </x:c>
      <x:c r="E6" s="46"/>
      <x:c r="F6" s="46" t="str">
        <x:v>Kiro 1 刀售价</x:v>
      </x:c>
      <x:c r="G6" s="56" t="n">
        <x:f>1/B6</x:f>
        <x:v>0.25</x:v>
      </x:c>
      <x:c r="H6" s="47" t="str">
        <x:v>1 元 / 4 刀</x:v>
      </x:c>
    </x:row>
    <x:row r="7">
      <x:c r="A7" s="45" t="str">
        <x:v>DeepSeek 加价</x:v>
      </x:c>
      <x:c r="B7" s="54" t="n">
        <x:v>0.3</x:v>
      </x:c>
      <x:c r="C7" s="46" t="str">
        <x:v>倍率</x:v>
      </x:c>
      <x:c r="D7" s="46" t="str">
        <x:v>官方人民币价加价 30%</x:v>
      </x:c>
      <x:c r="E7" s="46"/>
      <x:c r="F7" s="46" t="str">
        <x:v>DeepSeek 毛利率</x:v>
      </x:c>
      <x:c r="G7" s="55" t="n">
        <x:f>B7/(1+B7)</x:f>
        <x:v>0.23076923076923075</x:v>
      </x:c>
      <x:c r="H7" s="47" t="str">
        <x:v>官方价加价 30%</x:v>
      </x:c>
    </x:row>
    <x:row r="8">
      <x:c r="A8" s="45" t="str">
        <x:v>Kiro 单号收入</x:v>
      </x:c>
      <x:c r="B8" s="54" t="n">
        <x:f>B5/B6</x:f>
        <x:v>75</x:v>
      </x:c>
      <x:c r="C8" s="46" t="str">
        <x:v>RMB</x:v>
      </x:c>
      <x:c r="D8" s="46" t="str">
        <x:v>可售额度 / 用户售价</x:v>
      </x:c>
      <x:c r="E8" s="46"/>
      <x:c r="F8" s="46" t="str">
        <x:v>DeepSeek 扣刀公式</x:v>
      </x:c>
      <x:c r="G8" s="46" t="str">
        <x:v>官方 RMB/MTok × 5.2</x:v>
      </x:c>
      <x:c r="H8" s="47" t="str">
        <x:v>1.3 加价 × 4 刀/元</x:v>
      </x:c>
    </x:row>
    <x:row r="9">
      <x:c r="A9" s="45" t="str">
        <x:v>Kiro 单号毛利</x:v>
      </x:c>
      <x:c r="B9" s="54" t="n">
        <x:f>B8-B4</x:f>
        <x:v>45</x:v>
      </x:c>
      <x:c r="C9" s="46" t="str">
        <x:v>RMB</x:v>
      </x:c>
      <x:c r="D9" s="46" t="str">
        <x:v>收入 - 成本</x:v>
      </x:c>
      <x:c r="E9" s="46"/>
      <x:c r="F9" s="46"/>
      <x:c r="G9" s="46"/>
      <x:c r="H9" s="47"/>
    </x:row>
    <x:row r="10">
      <x:c r="A10" s="45" t="str">
        <x:v>Kiro 毛利率</x:v>
      </x:c>
      <x:c r="B10" s="55" t="n">
        <x:f>B9/B8</x:f>
        <x:v>0.6</x:v>
      </x:c>
      <x:c r="C10" s="46" t="str">
        <x:v>%</x:v>
      </x:c>
      <x:c r="D10" s="46" t="str">
        <x:v>毛利 / 收入</x:v>
      </x:c>
      <x:c r="E10" s="46"/>
      <x:c r="F10" s="46"/>
      <x:c r="G10" s="46"/>
      <x:c r="H10" s="47"/>
    </x:row>
    <x:row r="11">
      <x:c r="A11" s="45"/>
      <x:c r="B11" s="46"/>
      <x:c r="C11" s="46"/>
      <x:c r="D11" s="46"/>
      <x:c r="E11" s="46"/>
      <x:c r="F11" s="46"/>
      <x:c r="G11" s="46"/>
      <x:c r="H11" s="47"/>
    </x:row>
    <x:row r="12">
      <x:c r="A12" s="74" t="str">
        <x:v>DeepSeek 扣刀价（刀 / 百万 tokens）</x:v>
      </x:c>
      <x:c r="B12" s="75" t="str"/>
      <x:c r="C12" s="75" t="str"/>
      <x:c r="D12" s="75" t="str"/>
      <x:c r="E12" s="75" t="str"/>
      <x:c r="F12" s="75" t="str"/>
      <x:c r="G12" s="75" t="str"/>
      <x:c r="H12" s="76" t="str"/>
    </x:row>
    <x:row r="13">
      <x:c r="A13" s="45"/>
      <x:c r="B13" s="46"/>
      <x:c r="C13" s="46"/>
      <x:c r="D13" s="46"/>
      <x:c r="E13" s="46"/>
      <x:c r="F13" s="46"/>
      <x:c r="G13" s="46"/>
      <x:c r="H13" s="47"/>
    </x:row>
    <x:row r="14">
      <x:c r="A14" s="79" t="str">
        <x:v>模型</x:v>
      </x:c>
      <x:c r="B14" s="80" t="str">
        <x:v>cache_read</x:v>
      </x:c>
      <x:c r="C14" s="80" t="str">
        <x:v>input</x:v>
      </x:c>
      <x:c r="D14" s="80" t="str">
        <x:v>cache_write</x:v>
      </x:c>
      <x:c r="E14" s="80" t="str">
        <x:v>output</x:v>
      </x:c>
      <x:c r="F14" s="81" t="str">
        <x:v>毛利率</x:v>
      </x:c>
      <x:c r="G14" s="79" t="str">
        <x:v>说明</x:v>
      </x:c>
      <x:c r="H14" s="81" t="str">
        <x:v>DeepSeek 没有单独缓存写入价；cache_write 按缓存未命中 input 成本填，注意不要和 input 重复扣同一批 tokens。</x:v>
      </x:c>
    </x:row>
    <x:row r="15">
      <x:c r="A15" s="45" t="str">
        <x:v>deepseek-v4-flash</x:v>
      </x:c>
      <x:c r="B15" s="57" t="n">
        <x:v>0.104</x:v>
      </x:c>
      <x:c r="C15" s="57" t="n">
        <x:v>5.2</x:v>
      </x:c>
      <x:c r="D15" s="57" t="n">
        <x:v>5.2</x:v>
      </x:c>
      <x:c r="E15" s="57" t="n">
        <x:v>10.4</x:v>
      </x:c>
      <x:c r="F15" s="55" t="n">
        <x:f>$B$7/(1+$B$7)</x:f>
        <x:v>0.23076923076923075</x:v>
      </x:c>
      <x:c r="G15" s="46" t="str">
        <x:v>flash</x:v>
      </x:c>
      <x:c r="H15" s="47" t="str">
        <x:v>日常首选，便宜快速</x:v>
      </x:c>
    </x:row>
    <x:row r="16">
      <x:c r="A16" s="45" t="str">
        <x:v>deepseek-v4-pro</x:v>
      </x:c>
      <x:c r="B16" s="57" t="n">
        <x:v>0.13</x:v>
      </x:c>
      <x:c r="C16" s="57" t="n">
        <x:v>15.6</x:v>
      </x:c>
      <x:c r="D16" s="57" t="n">
        <x:v>15.6</x:v>
      </x:c>
      <x:c r="E16" s="57" t="n">
        <x:v>31.2</x:v>
      </x:c>
      <x:c r="F16" s="55" t="n">
        <x:f>$B$7/(1+$B$7)</x:f>
        <x:v>0.23076923076923075</x:v>
      </x:c>
      <x:c r="G16" s="46" t="str">
        <x:v>pro</x:v>
      </x:c>
      <x:c r="H16" s="47" t="str">
        <x:v>更强推理、长文本</x:v>
      </x:c>
    </x:row>
    <x:row r="17">
      <x:c r="A17" s="45"/>
      <x:c r="B17" s="46"/>
      <x:c r="C17" s="46"/>
      <x:c r="D17" s="46"/>
      <x:c r="E17" s="46"/>
      <x:c r="F17" s="46"/>
      <x:c r="G17" s="46"/>
      <x:c r="H17" s="47"/>
    </x:row>
    <x:row r="18">
      <x:c r="A18" s="45"/>
      <x:c r="B18" s="46"/>
      <x:c r="C18" s="46"/>
      <x:c r="D18" s="46"/>
      <x:c r="E18" s="46"/>
      <x:c r="F18" s="46"/>
      <x:c r="G18" s="46"/>
      <x:c r="H18" s="47"/>
    </x:row>
    <x:row r="19">
      <x:c r="A19" s="74" t="str">
        <x:v>额度套餐（按 1 元 = 4 刀）</x:v>
      </x:c>
      <x:c r="B19" s="75" t="str"/>
      <x:c r="C19" s="75" t="str"/>
      <x:c r="D19" s="75" t="str"/>
      <x:c r="E19" s="75" t="str"/>
      <x:c r="F19" s="75" t="str"/>
      <x:c r="G19" s="75" t="str"/>
      <x:c r="H19" s="76" t="str"/>
    </x:row>
    <x:row r="20">
      <x:c r="A20" s="45"/>
      <x:c r="B20" s="46"/>
      <x:c r="C20" s="46"/>
      <x:c r="D20" s="46"/>
      <x:c r="E20" s="46"/>
      <x:c r="F20" s="46"/>
      <x:c r="G20" s="46"/>
      <x:c r="H20" s="47"/>
    </x:row>
    <x:row r="21">
      <x:c r="A21" s="79" t="str">
        <x:v>套餐</x:v>
      </x:c>
      <x:c r="B21" s="80" t="str">
        <x:v>售价 RMB</x:v>
      </x:c>
      <x:c r="C21" s="80" t="str">
        <x:v>到账刀</x:v>
      </x:c>
      <x:c r="D21" s="80" t="str">
        <x:v>Kiro 成本 RMB</x:v>
      </x:c>
      <x:c r="E21" s="80" t="str">
        <x:v>Kiro 毛利 RMB</x:v>
      </x:c>
      <x:c r="F21" s="80" t="str">
        <x:v>Kiro 毛利率</x:v>
      </x:c>
      <x:c r="G21" s="81" t="str">
        <x:v>备注</x:v>
      </x:c>
      <x:c r="H21" s="47"/>
    </x:row>
    <x:row r="22">
      <x:c r="A22" s="45" t="str">
        <x:v>轻量包</x:v>
      </x:c>
      <x:c r="B22" s="56" t="n">
        <x:v>9.9</x:v>
      </x:c>
      <x:c r="C22" s="58" t="n">
        <x:f>B22*$B$6</x:f>
        <x:v>39.6</x:v>
      </x:c>
      <x:c r="D22" s="56" t="n">
        <x:f>C22*($B$4/$B$5)</x:f>
        <x:v>3.9600000000000004</x:v>
      </x:c>
      <x:c r="E22" s="56" t="n">
        <x:f>B22-D22</x:f>
        <x:v>5.9399999999999995</x:v>
      </x:c>
      <x:c r="F22" s="55" t="n">
        <x:f>IF(B22=0,0,E22/B22)</x:f>
        <x:v>0.6</x:v>
      </x:c>
      <x:c r="G22" s="46" t="str">
        <x:v>低门槛体验</x:v>
      </x:c>
      <x:c r="H22" s="47"/>
    </x:row>
    <x:row r="23">
      <x:c r="A23" s="45" t="str">
        <x:v>标准包</x:v>
      </x:c>
      <x:c r="B23" s="56" t="n">
        <x:v>19.9</x:v>
      </x:c>
      <x:c r="C23" s="58" t="n">
        <x:f>B23*$B$6</x:f>
        <x:v>79.6</x:v>
      </x:c>
      <x:c r="D23" s="56" t="n">
        <x:f>C23*($B$4/$B$5)</x:f>
        <x:v>7.96</x:v>
      </x:c>
      <x:c r="E23" s="56" t="n">
        <x:f>B23-D23</x:f>
        <x:v>11.939999999999998</x:v>
      </x:c>
      <x:c r="F23" s="55" t="n">
        <x:f>IF(B23=0,0,E23/B23)</x:f>
        <x:v>0.6</x:v>
      </x:c>
      <x:c r="G23" s="46" t="str">
        <x:v>常规购买</x:v>
      </x:c>
      <x:c r="H23" s="47"/>
    </x:row>
    <x:row r="24">
      <x:c r="A24" s="45" t="str">
        <x:v>主推包</x:v>
      </x:c>
      <x:c r="B24" s="56" t="n">
        <x:v>29.9</x:v>
      </x:c>
      <x:c r="C24" s="58" t="n">
        <x:f>B24*$B$6</x:f>
        <x:v>119.6</x:v>
      </x:c>
      <x:c r="D24" s="56" t="n">
        <x:f>C24*($B$4/$B$5)</x:f>
        <x:v>11.96</x:v>
      </x:c>
      <x:c r="E24" s="56" t="n">
        <x:f>B24-D24</x:f>
        <x:v>17.939999999999998</x:v>
      </x:c>
      <x:c r="F24" s="55" t="n">
        <x:f>IF(B24=0,0,E24/B24)</x:f>
        <x:v>0.6</x:v>
      </x:c>
      <x:c r="G24" s="46" t="str">
        <x:v>建议主推</x:v>
      </x:c>
      <x:c r="H24" s="47"/>
    </x:row>
    <x:row r="25">
      <x:c r="A25" s="45" t="str">
        <x:v>高频包</x:v>
      </x:c>
      <x:c r="B25" s="56" t="n">
        <x:v>49.9</x:v>
      </x:c>
      <x:c r="C25" s="58" t="n">
        <x:f>B25*$B$6</x:f>
        <x:v>199.6</x:v>
      </x:c>
      <x:c r="D25" s="56" t="n">
        <x:f>C25*($B$4/$B$5)</x:f>
        <x:v>19.96</x:v>
      </x:c>
      <x:c r="E25" s="56" t="n">
        <x:f>B25-D25</x:f>
        <x:v>29.939999999999998</x:v>
      </x:c>
      <x:c r="F25" s="55" t="n">
        <x:f>IF(B25=0,0,E25/B25)</x:f>
        <x:v>0.6</x:v>
      </x:c>
      <x:c r="G25" s="46" t="str">
        <x:v>重度用户</x:v>
      </x:c>
      <x:c r="H25" s="47"/>
    </x:row>
    <x:row r="26">
      <x:c r="A26" s="45" t="str">
        <x:v>大额包</x:v>
      </x:c>
      <x:c r="B26" s="56" t="n">
        <x:v>99</x:v>
      </x:c>
      <x:c r="C26" s="58" t="n">
        <x:f>B26*$B$6</x:f>
        <x:v>396</x:v>
      </x:c>
      <x:c r="D26" s="56" t="n">
        <x:f>C26*($B$4/$B$5)</x:f>
        <x:v>39.6</x:v>
      </x:c>
      <x:c r="E26" s="56" t="n">
        <x:f>B26-D26</x:f>
        <x:v>59.4</x:v>
      </x:c>
      <x:c r="F26" s="55" t="n">
        <x:f>IF(B26=0,0,E26/B26)</x:f>
        <x:v>0.6</x:v>
      </x:c>
      <x:c r="G26" s="46" t="str">
        <x:v>大额充值</x:v>
      </x:c>
      <x:c r="H26" s="47"/>
    </x:row>
    <x:row r="27">
      <x:c r="A27" s="45" t="str">
        <x:v>自定义</x:v>
      </x:c>
      <x:c r="B27" s="56" t="n">
        <x:v>0</x:v>
      </x:c>
      <x:c r="C27" s="58" t="n">
        <x:f>B27*$B$6</x:f>
        <x:v>0</x:v>
      </x:c>
      <x:c r="D27" s="56" t="n">
        <x:f>C27*($B$4/$B$5)</x:f>
        <x:v>0</x:v>
      </x:c>
      <x:c r="E27" s="56" t="n">
        <x:f>B27-D27</x:f>
        <x:v>0</x:v>
      </x:c>
      <x:c r="F27" s="55" t="n">
        <x:f>IF(B27=0,0,E27/B27)</x:f>
        <x:v>0</x:v>
      </x:c>
      <x:c r="G27" s="46" t="str">
        <x:v>手动改售价即可</x:v>
      </x:c>
      <x:c r="H27" s="47"/>
    </x:row>
    <x:row r="28">
      <x:c r="A28" s="45"/>
      <x:c r="B28" s="46"/>
      <x:c r="C28" s="46"/>
      <x:c r="D28" s="46"/>
      <x:c r="E28" s="46"/>
      <x:c r="F28" s="46"/>
      <x:c r="G28" s="46"/>
      <x:c r="H28" s="47"/>
    </x:row>
    <x:row r="29">
      <x:c r="A29" s="45"/>
      <x:c r="B29" s="46"/>
      <x:c r="C29" s="46"/>
      <x:c r="D29" s="46"/>
      <x:c r="E29" s="46"/>
      <x:c r="F29" s="46"/>
      <x:c r="G29" s="46"/>
      <x:c r="H29" s="47"/>
    </x:row>
    <x:row r="30">
      <x:c r="A30" s="74" t="str">
        <x:v>配置提醒</x:v>
      </x:c>
      <x:c r="B30" s="75" t="str"/>
      <x:c r="C30" s="75" t="str"/>
      <x:c r="D30" s="75" t="str"/>
      <x:c r="E30" s="75" t="str"/>
      <x:c r="F30" s="75" t="str"/>
      <x:c r="G30" s="75" t="str"/>
      <x:c r="H30" s="76" t="str"/>
    </x:row>
    <x:row r="31">
      <x:c r="A31" s="45"/>
      <x:c r="B31" s="46"/>
      <x:c r="C31" s="46"/>
      <x:c r="D31" s="46"/>
      <x:c r="E31" s="46"/>
      <x:c r="F31" s="46"/>
      <x:c r="G31" s="46"/>
      <x:c r="H31" s="47"/>
    </x:row>
    <x:row r="32">
      <x:c r="A32" s="65" t="str">
        <x:v>1</x:v>
      </x:c>
      <x:c r="B32" s="66" t="str">
        <x:v>sub2api 后台如果单位写 $/MTok，我们这里把它当“刀/MTok”用。</x:v>
      </x:c>
      <x:c r="C32" s="66" t="str"/>
      <x:c r="D32" s="66" t="str"/>
      <x:c r="E32" s="66" t="str"/>
      <x:c r="F32" s="66" t="str"/>
      <x:c r="G32" s="66" t="str"/>
      <x:c r="H32" s="67" t="str"/>
    </x:row>
    <x:row r="33">
      <x:c r="A33" s="65" t="str">
        <x:v>2</x:v>
      </x:c>
      <x:c r="B33" s="66" t="str">
        <x:v>DeepSeek 的 cache_write 只在 adapter 把 miss tokens 映射到 cache_write 时使用；如果 miss 已计入 input，就不要重复扣。</x:v>
      </x:c>
      <x:c r="C33" s="66" t="str"/>
      <x:c r="D33" s="66" t="str"/>
      <x:c r="E33" s="66" t="str"/>
      <x:c r="F33" s="66" t="str"/>
      <x:c r="G33" s="66" t="str"/>
      <x:c r="H33" s="67" t="str"/>
    </x:row>
    <x:row r="34">
      <x:c r="A34" s="68" t="str">
        <x:v>3</x:v>
      </x:c>
      <x:c r="B34" s="69" t="str">
        <x:v>当前额度套餐按 Kiro 成本测算，DeepSeek 因为按官方价 +30%，毛利率固定 23.1%。</x:v>
      </x:c>
      <x:c r="C34" s="69" t="str"/>
      <x:c r="D34" s="69" t="str"/>
      <x:c r="E34" s="69" t="str"/>
      <x:c r="F34" s="69" t="str"/>
      <x:c r="G34" s="69" t="str"/>
      <x:c r="H34" s="70" t="str"/>
    </x:row>
  </x:sheetData>
  <x:mergeCells>
    <x:mergeCell ref="A1:H1"/>
    <x:mergeCell ref="A12:H12"/>
    <x:mergeCell ref="A19:H19"/>
    <x:mergeCell ref="A30:H30"/>
  </x:mergeCells>
  <x:pageMargins left="0.7" right="0.7" top="0.75" bottom="0.75" header="0.3" footer="0.3"/>
</x:worksheet>
</file>